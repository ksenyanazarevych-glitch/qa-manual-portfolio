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formation" sheetId="1" r:id="rId5"/>
    <sheet state="visible" name="Test Summary" sheetId="2" r:id="rId6"/>
  </sheets>
  <definedNames/>
  <calcPr/>
</workbook>
</file>

<file path=xl/sharedStrings.xml><?xml version="1.0" encoding="utf-8"?>
<sst xmlns="http://schemas.openxmlformats.org/spreadsheetml/2006/main" count="96" uniqueCount="78">
  <si>
    <t>PROJECT BASIC INFORMATION</t>
  </si>
  <si>
    <t>Project Name</t>
  </si>
  <si>
    <t>Huntd</t>
  </si>
  <si>
    <t>Name of Product</t>
  </si>
  <si>
    <t>The best app for hiring web3 developers.</t>
  </si>
  <si>
    <t>Links</t>
  </si>
  <si>
    <t>Test plan</t>
  </si>
  <si>
    <t>Permission table</t>
  </si>
  <si>
    <t>RTM</t>
  </si>
  <si>
    <t>Jira</t>
  </si>
  <si>
    <t>TestRail WEB</t>
  </si>
  <si>
    <t>TestRail Mobile</t>
  </si>
  <si>
    <t>Product Description</t>
  </si>
  <si>
    <t>Huntd is a comprehensive job search and application tracking app designed to assist job seekers in their quest for employment. With its user-friendly interface and powerful features, this app is essential for individuals actively seeking job opportunities.</t>
  </si>
  <si>
    <t>Project Description</t>
  </si>
  <si>
    <t>Mission of the project</t>
  </si>
  <si>
    <t>Conduct testing to verify the quality of the web and mobile application.</t>
  </si>
  <si>
    <t>Ensure the application is released without defects.</t>
  </si>
  <si>
    <t>Project output product</t>
  </si>
  <si>
    <t>Test Summary report and Defects evaluation</t>
  </si>
  <si>
    <t>Project Type</t>
  </si>
  <si>
    <t>Testing</t>
  </si>
  <si>
    <t>Project Duration</t>
  </si>
  <si>
    <t>Start date</t>
  </si>
  <si>
    <t>End date</t>
  </si>
  <si>
    <t>Test Objectives</t>
  </si>
  <si>
    <t>The test objectives are the functionality of the web version and mobile version of the “Huntd”. The project focuses on the possibility to interact with the main objects of the website and app.</t>
  </si>
  <si>
    <r>
      <rPr>
        <rFont val="Arial"/>
        <color theme="1"/>
        <sz val="11.0"/>
      </rPr>
      <t xml:space="preserve">For </t>
    </r>
    <r>
      <rPr>
        <rFont val="Arial"/>
        <b/>
        <color theme="1"/>
        <sz val="11.0"/>
      </rPr>
      <t>Website</t>
    </r>
    <r>
      <rPr>
        <rFont val="Arial"/>
        <color theme="1"/>
        <sz val="11.0"/>
      </rPr>
      <t xml:space="preserve"> the main objectives are:
- Verification of main pages and core user flows
- Validation of candidate search, profiles, and filters
- Verification of registration, authentication, and profile management
- Validation of chat functionality and access rules
- Verification of Web3 companies, jobs, and application flow</t>
    </r>
  </si>
  <si>
    <r>
      <rPr>
        <rFont val="Arial"/>
        <color theme="1"/>
        <sz val="11.0"/>
      </rPr>
      <t>For</t>
    </r>
    <r>
      <rPr>
        <rFont val="Arial"/>
        <b/>
        <color theme="1"/>
        <sz val="11.0"/>
      </rPr>
      <t xml:space="preserve"> Mobile</t>
    </r>
    <r>
      <rPr>
        <rFont val="Arial"/>
        <color theme="1"/>
        <sz val="11.0"/>
      </rPr>
      <t xml:space="preserve"> the main objectives are:
- Verification of implemented MVP features
- Validation of authentication, chat, and profile settings
- Identification of mobile-specific defects
</t>
    </r>
  </si>
  <si>
    <r>
      <rPr>
        <rFont val="Arial"/>
        <b val="0"/>
        <color rgb="FF000000"/>
        <sz val="12.0"/>
      </rPr>
      <t xml:space="preserve">Execution Rate for </t>
    </r>
    <r>
      <rPr>
        <rFont val="Arial"/>
        <b/>
        <color rgb="FF000000"/>
        <sz val="12.0"/>
      </rPr>
      <t>Huntd Web app</t>
    </r>
  </si>
  <si>
    <r>
      <rPr>
        <rFont val="Arial"/>
        <b val="0"/>
        <color rgb="FF000000"/>
        <sz val="12.0"/>
      </rPr>
      <t xml:space="preserve">Execution Rate for </t>
    </r>
    <r>
      <rPr>
        <rFont val="Arial"/>
        <b/>
        <color rgb="FF000000"/>
        <sz val="12.0"/>
      </rPr>
      <t>Huntd mobile app</t>
    </r>
  </si>
  <si>
    <t>Executed test cases</t>
  </si>
  <si>
    <t>Passed</t>
  </si>
  <si>
    <t>Failed</t>
  </si>
  <si>
    <t>Skipped</t>
  </si>
  <si>
    <r>
      <rPr>
        <rFont val="Arial"/>
        <b/>
        <color rgb="FF000000"/>
        <sz val="12.0"/>
      </rPr>
      <t xml:space="preserve">Huntd Web </t>
    </r>
    <r>
      <rPr>
        <rFont val="Arial"/>
        <b val="0"/>
        <color rgb="FF000000"/>
        <sz val="12.0"/>
      </rPr>
      <t>bugs by Priority</t>
    </r>
  </si>
  <si>
    <r>
      <rPr>
        <rFont val="Arial"/>
        <b/>
        <color rgb="FF000000"/>
        <sz val="12.0"/>
      </rPr>
      <t xml:space="preserve">Huntd Mobile app </t>
    </r>
    <r>
      <rPr>
        <rFont val="Arial"/>
        <b val="0"/>
        <color rgb="FF000000"/>
        <sz val="12.0"/>
      </rPr>
      <t>bugs by Priority</t>
    </r>
  </si>
  <si>
    <t>Critical</t>
  </si>
  <si>
    <t>High</t>
  </si>
  <si>
    <t>Medium</t>
  </si>
  <si>
    <t>Low</t>
  </si>
  <si>
    <t>Web features</t>
  </si>
  <si>
    <t>Mobile features</t>
  </si>
  <si>
    <t>No.</t>
  </si>
  <si>
    <t>Features</t>
  </si>
  <si>
    <t>Tests</t>
  </si>
  <si>
    <t>Main page For companies</t>
  </si>
  <si>
    <t>Sing In</t>
  </si>
  <si>
    <t>Main page for engineers</t>
  </si>
  <si>
    <t>Create Account</t>
  </si>
  <si>
    <t>Candidates list</t>
  </si>
  <si>
    <t>Forgot Password</t>
  </si>
  <si>
    <t>Candidates filters</t>
  </si>
  <si>
    <t>Botton Navigation Panel</t>
  </si>
  <si>
    <t>Candidates</t>
  </si>
  <si>
    <t>Chat</t>
  </si>
  <si>
    <t>Candidate Profile</t>
  </si>
  <si>
    <t>Profile</t>
  </si>
  <si>
    <t>Sign up</t>
  </si>
  <si>
    <t>Edit Candidate Profile - Role</t>
  </si>
  <si>
    <t>Sign Up as a Recruiter</t>
  </si>
  <si>
    <t>Edit Candidate Profile - Expectations</t>
  </si>
  <si>
    <t>Sign Up as a Candidate -  Role section</t>
  </si>
  <si>
    <t>Sign Up as a Candidate - Expextation section</t>
  </si>
  <si>
    <t>Preview Candidate's Profile</t>
  </si>
  <si>
    <t>Sing Up Candidate - Expiriesne section</t>
  </si>
  <si>
    <t>Edit Recruiter Profile - Company Details</t>
  </si>
  <si>
    <t>Sing Up Candidate - Bio section</t>
  </si>
  <si>
    <t>Recruter Profile - Preview Profile</t>
  </si>
  <si>
    <t>Sing Up Candidate - Contact Information section</t>
  </si>
  <si>
    <t>Recruter Profile</t>
  </si>
  <si>
    <t>Sign in</t>
  </si>
  <si>
    <t>Preview Recruter's Profile</t>
  </si>
  <si>
    <t>Contacts</t>
  </si>
  <si>
    <t>Preferences</t>
  </si>
  <si>
    <t>Footer</t>
  </si>
  <si>
    <t>Latest (Coverage)</t>
  </si>
  <si>
    <t>Web3 Companies &amp; Jobs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</si>
</sst>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0.0"/>
      <color rgb="FF000000"/>
      <name val="Arial"/>
      <scheme val="minor"/>
    </font>
    <font>
      <b/>
      <color theme="1"/>
      <name val="Arial"/>
      <scheme val="minor"/>
    </font>
    <font>
      <b/>
      <sz val="11.0"/>
      <color theme="1"/>
      <name val="Arial"/>
      <scheme val="minor"/>
    </font>
    <font>
      <u/>
      <sz val="11.0"/>
      <color rgb="FF0000FF"/>
    </font>
    <font/>
    <font>
      <sz val="11.0"/>
      <color theme="1"/>
      <name val="Arial"/>
      <scheme val="minor"/>
    </font>
    <font>
      <u/>
      <sz val="11.0"/>
      <color rgb="FF0000FF"/>
    </font>
    <font>
      <sz val="11.0"/>
      <color rgb="FF000000"/>
      <name val="Arial"/>
    </font>
    <font>
      <b/>
      <sz val="12.0"/>
      <color rgb="FF000000"/>
      <name val="Arial"/>
      <scheme val="minor"/>
    </font>
    <font>
      <color theme="1"/>
      <name val="Arial"/>
      <scheme val="minor"/>
    </font>
    <font>
      <b/>
      <sz val="14.0"/>
      <color theme="1"/>
      <name val="Arial"/>
      <scheme val="minor"/>
    </font>
    <font>
      <sz val="10.0"/>
      <color theme="1"/>
      <name val="Arial"/>
      <scheme val="minor"/>
    </font>
    <font>
      <sz val="10.0"/>
      <color rgb="FF000000"/>
      <name val="Arial"/>
    </font>
    <font>
      <b/>
      <sz val="10.0"/>
      <color theme="1"/>
      <name val="Arial"/>
      <scheme val="minor"/>
    </font>
  </fonts>
  <fills count="9">
    <fill>
      <patternFill patternType="none"/>
    </fill>
    <fill>
      <patternFill patternType="lightGray"/>
    </fill>
    <fill>
      <patternFill patternType="solid">
        <fgColor rgb="FFA4C2F4"/>
        <bgColor rgb="FFA4C2F4"/>
      </patternFill>
    </fill>
    <fill>
      <patternFill patternType="solid">
        <fgColor rgb="FFC9DAF8"/>
        <bgColor rgb="FFC9DAF8"/>
      </patternFill>
    </fill>
    <fill>
      <patternFill patternType="solid">
        <fgColor rgb="FFFFFFFF"/>
        <bgColor rgb="FFFFFFFF"/>
      </patternFill>
    </fill>
    <fill>
      <patternFill patternType="solid">
        <fgColor rgb="FFEFEFEF"/>
        <bgColor rgb="FFEFEFEF"/>
      </patternFill>
    </fill>
    <fill>
      <patternFill patternType="solid">
        <fgColor rgb="FFB6D7A8"/>
        <bgColor rgb="FFB6D7A8"/>
      </patternFill>
    </fill>
    <fill>
      <patternFill patternType="solid">
        <fgColor rgb="FFEA9999"/>
        <bgColor rgb="FFEA9999"/>
      </patternFill>
    </fill>
    <fill>
      <patternFill patternType="solid">
        <fgColor rgb="FFF9CB9C"/>
        <bgColor rgb="FFF9CB9C"/>
      </patternFill>
    </fill>
  </fills>
  <borders count="2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top style="thin">
        <color rgb="FF000000"/>
      </top>
      <bottom style="thin">
        <color rgb="FF000000"/>
      </bottom>
    </border>
    <border>
      <left style="double">
        <color rgb="FF000000"/>
      </left>
      <right style="double">
        <color rgb="FF000000"/>
      </right>
      <top style="double">
        <color rgb="FF000000"/>
      </top>
      <bottom style="thin">
        <color rgb="FF000000"/>
      </bottom>
    </border>
    <border>
      <left style="double">
        <color rgb="FF000000"/>
      </left>
      <right style="double">
        <color rgb="FF000000"/>
      </right>
      <top style="thin">
        <color rgb="FF000000"/>
      </top>
      <bottom style="thin">
        <color rgb="FF000000"/>
      </bottom>
    </border>
    <border>
      <left style="double">
        <color rgb="FF000000"/>
      </left>
      <right style="double">
        <color rgb="FF000000"/>
      </right>
      <top style="thin">
        <color rgb="FF000000"/>
      </top>
      <bottom style="double">
        <color rgb="FF000000"/>
      </bottom>
    </border>
    <border>
      <left style="thick">
        <color rgb="FF000000"/>
      </left>
    </border>
    <border>
      <left style="thick">
        <color rgb="FF000000"/>
      </left>
      <right style="thin">
        <color rgb="FF000000"/>
      </right>
      <top style="thin">
        <color rgb="FF000000"/>
      </top>
      <bottom style="thin">
        <color rgb="FF000000"/>
      </bottom>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vertical="center"/>
    </xf>
    <xf borderId="2" fillId="0" fontId="3" numFmtId="0" xfId="0" applyAlignment="1" applyBorder="1" applyFont="1">
      <alignment readingOrder="0"/>
    </xf>
    <xf borderId="3" fillId="0" fontId="4" numFmtId="0" xfId="0" applyBorder="1" applyFont="1"/>
    <xf borderId="4" fillId="0" fontId="4" numFmtId="0" xfId="0" applyBorder="1" applyFont="1"/>
    <xf borderId="5" fillId="2" fontId="2" numFmtId="0" xfId="0" applyAlignment="1" applyBorder="1" applyFont="1">
      <alignment horizontal="center" readingOrder="0" vertical="center"/>
    </xf>
    <xf borderId="2" fillId="0" fontId="5" numFmtId="0" xfId="0" applyAlignment="1" applyBorder="1" applyFont="1">
      <alignment readingOrder="0"/>
    </xf>
    <xf borderId="6" fillId="0" fontId="4" numFmtId="0" xfId="0" applyBorder="1" applyFont="1"/>
    <xf borderId="5" fillId="3" fontId="5" numFmtId="0" xfId="0" applyAlignment="1" applyBorder="1" applyFill="1" applyFont="1">
      <alignment horizontal="center" readingOrder="0" shrinkToFit="0" vertical="center" wrapText="0"/>
    </xf>
    <xf borderId="1" fillId="0" fontId="6" numFmtId="0" xfId="0" applyAlignment="1" applyBorder="1" applyFont="1">
      <alignment readingOrder="0"/>
    </xf>
    <xf borderId="7" fillId="0" fontId="4" numFmtId="0" xfId="0" applyBorder="1" applyFont="1"/>
    <xf borderId="2" fillId="0" fontId="5" numFmtId="0" xfId="0" applyAlignment="1" applyBorder="1" applyFont="1">
      <alignment readingOrder="0" shrinkToFit="0" vertical="top" wrapText="1"/>
    </xf>
    <xf borderId="5" fillId="3" fontId="5" numFmtId="0" xfId="0" applyAlignment="1" applyBorder="1" applyFont="1">
      <alignment horizontal="center" readingOrder="0" shrinkToFit="0" vertical="center" wrapText="1"/>
    </xf>
    <xf borderId="2" fillId="0" fontId="5" numFmtId="0" xfId="0" applyAlignment="1" applyBorder="1" applyFont="1">
      <alignment readingOrder="0" shrinkToFit="0" wrapText="1"/>
    </xf>
    <xf borderId="2" fillId="4" fontId="7" numFmtId="0" xfId="0" applyAlignment="1" applyBorder="1" applyFill="1" applyFont="1">
      <alignment horizontal="left" readingOrder="0"/>
    </xf>
    <xf borderId="1" fillId="3" fontId="5" numFmtId="0" xfId="0" applyAlignment="1" applyBorder="1" applyFont="1">
      <alignment horizontal="center" readingOrder="0" vertical="center"/>
    </xf>
    <xf borderId="1" fillId="0" fontId="5" numFmtId="164" xfId="0" applyAlignment="1" applyBorder="1" applyFont="1" applyNumberFormat="1">
      <alignment readingOrder="0"/>
    </xf>
    <xf borderId="8" fillId="0" fontId="5" numFmtId="0" xfId="0" applyAlignment="1" applyBorder="1" applyFont="1">
      <alignment readingOrder="0" shrinkToFit="0" wrapText="1"/>
    </xf>
    <xf borderId="9" fillId="0" fontId="4" numFmtId="0" xfId="0" applyBorder="1" applyFont="1"/>
    <xf borderId="10" fillId="0" fontId="4" numFmtId="0" xfId="0" applyBorder="1" applyFont="1"/>
    <xf borderId="11" fillId="0" fontId="5" numFmtId="0" xfId="0" applyAlignment="1" applyBorder="1" applyFont="1">
      <alignment readingOrder="0" shrinkToFit="0" wrapText="1"/>
    </xf>
    <xf borderId="12" fillId="0" fontId="4" numFmtId="0" xfId="0" applyBorder="1" applyFont="1"/>
    <xf borderId="13" fillId="0" fontId="5" numFmtId="0" xfId="0" applyAlignment="1" applyBorder="1" applyFont="1">
      <alignment readingOrder="0" shrinkToFit="0" wrapText="1"/>
    </xf>
    <xf borderId="14" fillId="0" fontId="4" numFmtId="0" xfId="0" applyBorder="1" applyFont="1"/>
    <xf borderId="15" fillId="0" fontId="4" numFmtId="0" xfId="0" applyBorder="1" applyFont="1"/>
    <xf borderId="2" fillId="5" fontId="8" numFmtId="0" xfId="0" applyAlignment="1" applyBorder="1" applyFill="1" applyFont="1">
      <alignment horizontal="center" readingOrder="0" vertical="center"/>
    </xf>
    <xf borderId="16" fillId="5" fontId="8" numFmtId="0" xfId="0" applyAlignment="1" applyBorder="1" applyFont="1">
      <alignment horizontal="center" readingOrder="0" vertical="center"/>
    </xf>
    <xf borderId="2" fillId="0" fontId="9" numFmtId="0" xfId="0" applyAlignment="1" applyBorder="1" applyFont="1">
      <alignment readingOrder="0"/>
    </xf>
    <xf borderId="17" fillId="0" fontId="9" numFmtId="0" xfId="0" applyAlignment="1" applyBorder="1" applyFont="1">
      <alignment readingOrder="0"/>
    </xf>
    <xf borderId="4" fillId="0" fontId="9" numFmtId="9" xfId="0" applyAlignment="1" applyBorder="1" applyFont="1" applyNumberFormat="1">
      <alignment readingOrder="0"/>
    </xf>
    <xf borderId="16" fillId="0" fontId="9" numFmtId="0" xfId="0" applyAlignment="1" applyBorder="1" applyFont="1">
      <alignment readingOrder="0"/>
    </xf>
    <xf borderId="2" fillId="6" fontId="9" numFmtId="0" xfId="0" applyAlignment="1" applyBorder="1" applyFill="1" applyFont="1">
      <alignment readingOrder="0"/>
    </xf>
    <xf borderId="18" fillId="6" fontId="9" numFmtId="0" xfId="0" applyAlignment="1" applyBorder="1" applyFont="1">
      <alignment horizontal="right" readingOrder="0"/>
    </xf>
    <xf borderId="4" fillId="6" fontId="9" numFmtId="9" xfId="0" applyAlignment="1" applyBorder="1" applyFont="1" applyNumberFormat="1">
      <alignment horizontal="right" readingOrder="0"/>
    </xf>
    <xf borderId="16" fillId="6" fontId="9" numFmtId="0" xfId="0" applyAlignment="1" applyBorder="1" applyFont="1">
      <alignment readingOrder="0"/>
    </xf>
    <xf borderId="2" fillId="7" fontId="9" numFmtId="0" xfId="0" applyAlignment="1" applyBorder="1" applyFill="1" applyFont="1">
      <alignment readingOrder="0"/>
    </xf>
    <xf borderId="19" fillId="7" fontId="9" numFmtId="0" xfId="0" applyAlignment="1" applyBorder="1" applyFont="1">
      <alignment horizontal="right" readingOrder="0"/>
    </xf>
    <xf borderId="4" fillId="7" fontId="9" numFmtId="9" xfId="0" applyAlignment="1" applyBorder="1" applyFont="1" applyNumberFormat="1">
      <alignment horizontal="right" readingOrder="0"/>
    </xf>
    <xf borderId="16" fillId="7" fontId="9" numFmtId="0" xfId="0" applyAlignment="1" applyBorder="1" applyFont="1">
      <alignment readingOrder="0"/>
    </xf>
    <xf borderId="16" fillId="8" fontId="9" numFmtId="0" xfId="0" applyAlignment="1" applyBorder="1" applyFill="1" applyFont="1">
      <alignment readingOrder="0"/>
    </xf>
    <xf borderId="19" fillId="8" fontId="9" numFmtId="0" xfId="0" applyAlignment="1" applyBorder="1" applyFont="1">
      <alignment horizontal="right" readingOrder="0"/>
    </xf>
    <xf borderId="4" fillId="8" fontId="9" numFmtId="9" xfId="0" applyAlignment="1" applyBorder="1" applyFont="1" applyNumberFormat="1">
      <alignment horizontal="right" readingOrder="0"/>
    </xf>
    <xf borderId="20" fillId="0" fontId="9" numFmtId="0" xfId="0" applyBorder="1" applyFont="1"/>
    <xf borderId="4" fillId="5" fontId="8" numFmtId="0" xfId="0" applyAlignment="1" applyBorder="1" applyFont="1">
      <alignment horizontal="center" readingOrder="0" vertical="center"/>
    </xf>
    <xf borderId="18" fillId="0" fontId="9" numFmtId="0" xfId="0" applyAlignment="1" applyBorder="1" applyFont="1">
      <alignment horizontal="right" readingOrder="0"/>
    </xf>
    <xf borderId="19" fillId="0" fontId="9" numFmtId="0" xfId="0" applyAlignment="1" applyBorder="1" applyFont="1">
      <alignment readingOrder="0"/>
    </xf>
    <xf borderId="0" fillId="0" fontId="10" numFmtId="0" xfId="0" applyAlignment="1" applyFont="1">
      <alignment horizontal="center" readingOrder="0"/>
    </xf>
    <xf borderId="20" fillId="0" fontId="10" numFmtId="0" xfId="0" applyAlignment="1" applyBorder="1" applyFont="1">
      <alignment horizontal="center" readingOrder="0" vertical="center"/>
    </xf>
    <xf borderId="21" fillId="2" fontId="1" numFmtId="0" xfId="0" applyAlignment="1" applyBorder="1" applyFont="1">
      <alignment horizontal="center" readingOrder="0"/>
    </xf>
    <xf borderId="5" fillId="2" fontId="1" numFmtId="0" xfId="0" applyAlignment="1" applyBorder="1" applyFont="1">
      <alignment horizontal="center" readingOrder="0"/>
    </xf>
    <xf borderId="5" fillId="2" fontId="1" numFmtId="0" xfId="0" applyAlignment="1" applyBorder="1" applyFont="1">
      <alignment horizontal="center"/>
    </xf>
    <xf borderId="8" fillId="2" fontId="1" numFmtId="0" xfId="0" applyAlignment="1" applyBorder="1" applyFont="1">
      <alignment horizontal="center"/>
    </xf>
    <xf borderId="22" fillId="0" fontId="11" numFmtId="0" xfId="0" applyAlignment="1" applyBorder="1" applyFont="1">
      <alignment readingOrder="0"/>
    </xf>
    <xf borderId="23" fillId="0" fontId="9" numFmtId="0" xfId="0" applyAlignment="1" applyBorder="1" applyFont="1">
      <alignment readingOrder="0"/>
    </xf>
    <xf borderId="3" fillId="6" fontId="9" numFmtId="9" xfId="0" applyBorder="1" applyFont="1" applyNumberFormat="1"/>
    <xf borderId="18" fillId="0" fontId="9" numFmtId="0" xfId="0" applyAlignment="1" applyBorder="1" applyFont="1">
      <alignment readingOrder="0"/>
    </xf>
    <xf borderId="4" fillId="6" fontId="9" numFmtId="9" xfId="0" applyBorder="1" applyFont="1" applyNumberFormat="1"/>
    <xf borderId="24" fillId="0" fontId="9" numFmtId="0" xfId="0" applyAlignment="1" applyBorder="1" applyFont="1">
      <alignment readingOrder="0"/>
    </xf>
    <xf borderId="25" fillId="0" fontId="11" numFmtId="0" xfId="0" applyAlignment="1" applyBorder="1" applyFont="1">
      <alignment readingOrder="0"/>
    </xf>
    <xf borderId="1" fillId="0" fontId="9" numFmtId="0" xfId="0" applyAlignment="1" applyBorder="1" applyFont="1">
      <alignment readingOrder="0"/>
    </xf>
    <xf borderId="26" fillId="0" fontId="9" numFmtId="0" xfId="0" applyAlignment="1" applyBorder="1" applyFont="1">
      <alignment readingOrder="0"/>
    </xf>
    <xf borderId="1" fillId="0" fontId="12" numFmtId="0" xfId="0" applyAlignment="1" applyBorder="1" applyFont="1">
      <alignment horizontal="left" readingOrder="0" shrinkToFit="0" wrapText="1"/>
    </xf>
    <xf borderId="1" fillId="0" fontId="11" numFmtId="0" xfId="0" applyAlignment="1" applyBorder="1" applyFont="1">
      <alignment readingOrder="0"/>
    </xf>
    <xf borderId="1" fillId="0" fontId="12" numFmtId="0" xfId="0" applyAlignment="1" applyBorder="1" applyFont="1">
      <alignment readingOrder="0"/>
    </xf>
    <xf borderId="21" fillId="0" fontId="9" numFmtId="0" xfId="0" applyAlignment="1" applyBorder="1" applyFont="1">
      <alignment readingOrder="0"/>
    </xf>
    <xf borderId="7" fillId="0" fontId="13" numFmtId="0" xfId="0" applyBorder="1" applyFont="1"/>
    <xf borderId="7" fillId="0" fontId="1" numFmtId="0" xfId="0" applyBorder="1" applyFont="1"/>
    <xf borderId="1" fillId="6" fontId="1" numFmtId="9" xfId="0" applyBorder="1" applyFont="1" applyNumberFormat="1"/>
    <xf borderId="7" fillId="0" fontId="1" numFmtId="0" xfId="0" applyBorder="1" applyFont="1"/>
    <xf borderId="1" fillId="0" fontId="1" numFmtId="9" xfId="0" applyAlignment="1" applyBorder="1" applyFont="1" applyNumberFormat="1">
      <alignment readingOrder="0"/>
    </xf>
  </cellXfs>
  <cellStyles count="1">
    <cellStyle xfId="0" name="Normal" builtinId="0"/>
  </cellStyles>
  <dxfs count="10">
    <dxf>
      <font/>
      <fill>
        <patternFill patternType="solid">
          <fgColor rgb="FF93C47D"/>
          <bgColor rgb="FF93C47D"/>
        </patternFill>
      </fill>
      <border/>
    </dxf>
    <dxf>
      <font/>
      <fill>
        <patternFill patternType="solid">
          <fgColor rgb="FFB6D7A8"/>
          <bgColor rgb="FFB6D7A8"/>
        </patternFill>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EA9999"/>
          <bgColor rgb="FFEA9999"/>
        </patternFill>
      </fill>
      <border/>
    </dxf>
    <dxf>
      <font/>
      <fill>
        <patternFill patternType="solid">
          <fgColor rgb="FFE06666"/>
          <bgColor rgb="FFE06666"/>
        </patternFill>
      </fill>
      <border/>
    </dxf>
    <dxf>
      <font/>
      <fill>
        <patternFill patternType="solid">
          <fgColor rgb="FFCC0000"/>
          <bgColor rgb="FFCC0000"/>
        </patternFill>
      </fill>
      <border/>
    </dxf>
    <dxf>
      <font/>
      <fill>
        <patternFill patternType="solid">
          <fgColor rgb="FFFCE8B2"/>
          <bgColor rgb="FFFCE8B2"/>
        </patternFill>
      </fill>
      <border/>
    </dxf>
    <dxf>
      <font/>
      <fill>
        <patternFill patternType="solid">
          <fgColor rgb="FFCFE2F3"/>
          <bgColor rgb="FFCFE2F3"/>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93C47D"/>
              </a:solidFill>
            </c:spPr>
          </c:dPt>
          <c:dPt>
            <c:idx val="1"/>
            <c:spPr>
              <a:solidFill>
                <a:srgbClr val="EA4335"/>
              </a:solidFill>
            </c:spPr>
          </c:dPt>
          <c:dLbls>
            <c:showLegendKey val="0"/>
            <c:showVal val="0"/>
            <c:showCatName val="0"/>
            <c:showSerName val="0"/>
            <c:showPercent val="0"/>
            <c:showBubbleSize val="0"/>
            <c:showLeaderLines val="1"/>
          </c:dLbls>
          <c:val>
            <c:numRef>
              <c:f>'Test Summary'!$B$3:$B$4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DD7E6B"/>
              </a:solidFill>
            </c:spPr>
          </c:dPt>
          <c:dPt>
            <c:idx val="1"/>
            <c:spPr>
              <a:solidFill>
                <a:srgbClr val="FFF2CC"/>
              </a:solidFill>
            </c:spPr>
          </c:dPt>
          <c:dPt>
            <c:idx val="2"/>
            <c:spPr>
              <a:solidFill>
                <a:srgbClr val="C9DAF8"/>
              </a:solidFill>
            </c:spPr>
          </c:dPt>
          <c:dPt>
            <c:idx val="3"/>
            <c:spPr>
              <a:solidFill>
                <a:srgbClr val="D9D9D9"/>
              </a:solidFill>
            </c:spPr>
          </c:dPt>
          <c:dLbls>
            <c:showLegendKey val="0"/>
            <c:showVal val="0"/>
            <c:showCatName val="0"/>
            <c:showSerName val="0"/>
            <c:showPercent val="0"/>
            <c:showBubbleSize val="0"/>
            <c:showLeaderLines val="1"/>
          </c:dLbls>
          <c:cat>
            <c:strRef>
              <c:f>'Test Summary'!$C$13:$C$16</c:f>
            </c:strRef>
          </c:cat>
          <c:val>
            <c:numRef>
              <c:f>'Test Summary'!$C$13:$C$16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DD7E6B"/>
              </a:solidFill>
            </c:spPr>
          </c:dPt>
          <c:dPt>
            <c:idx val="1"/>
            <c:spPr>
              <a:solidFill>
                <a:srgbClr val="FFE599"/>
              </a:solidFill>
            </c:spPr>
          </c:dPt>
          <c:dPt>
            <c:idx val="2"/>
            <c:spPr>
              <a:solidFill>
                <a:srgbClr val="9FC5E8"/>
              </a:solidFill>
            </c:spPr>
          </c:dPt>
          <c:dPt>
            <c:idx val="3"/>
            <c:spPr>
              <a:solidFill>
                <a:srgbClr val="D9D9D9"/>
              </a:solidFill>
            </c:spPr>
          </c:dPt>
          <c:dLbls>
            <c:showLegendKey val="0"/>
            <c:showVal val="0"/>
            <c:showCatName val="0"/>
            <c:showSerName val="0"/>
            <c:showPercent val="0"/>
            <c:showBubbleSize val="0"/>
            <c:showLeaderLines val="1"/>
          </c:dLbls>
          <c:cat>
            <c:strRef>
              <c:f>'Test Summary'!$J$13:$J$16</c:f>
            </c:strRef>
          </c:cat>
          <c:val>
            <c:numRef>
              <c:f>'Test Summary'!$K$13:$K$16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93C47D"/>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'Test Summary'!$J$3:$J$5</c:f>
            </c:strRef>
          </c:cat>
          <c:val>
            <c:numRef>
              <c:f>'Test Summary'!$K$3:$K$5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647700</xdr:colOff>
      <xdr:row>0</xdr:row>
      <xdr:rowOff>0</xdr:rowOff>
    </xdr:from>
    <xdr:ext cx="3133725" cy="1971675"/>
    <xdr:graphicFrame>
      <xdr:nvGraphicFramePr>
        <xdr:cNvPr id="1" name="Chart 1" title="Діагра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647700</xdr:colOff>
      <xdr:row>10</xdr:row>
      <xdr:rowOff>190500</xdr:rowOff>
    </xdr:from>
    <xdr:ext cx="3133725" cy="20193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12</xdr:col>
      <xdr:colOff>628650</xdr:colOff>
      <xdr:row>10</xdr:row>
      <xdr:rowOff>190500</xdr:rowOff>
    </xdr:from>
    <xdr:ext cx="3267075" cy="20193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628650</xdr:colOff>
      <xdr:row>0</xdr:row>
      <xdr:rowOff>0</xdr:rowOff>
    </xdr:from>
    <xdr:ext cx="3133725" cy="19716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ntd.tech/" TargetMode="External"/><Relationship Id="rId2" Type="http://schemas.openxmlformats.org/officeDocument/2006/relationships/hyperlink" Target="https://docs.google.com/document/d/1oSE52y8MIDIrzGvyzjmgerHvr2WL-vpz9ir_3osDWhk/edit?usp=sharing" TargetMode="External"/><Relationship Id="rId3" Type="http://schemas.openxmlformats.org/officeDocument/2006/relationships/hyperlink" Target="https://docs.google.com/spreadsheets/d/1xoOSj6GTclCfFIJ9c9raFJdVBJLkkkzkk_lo6wK-li4/edit?usp=sharing" TargetMode="External"/><Relationship Id="rId4" Type="http://schemas.openxmlformats.org/officeDocument/2006/relationships/hyperlink" Target="https://docs.google.com/spreadsheets/d/1ua8UNt67tEC111Ql12McYpO6XNsz3P2Fkdy9b_dmEpI/edit?usp=sharing" TargetMode="External"/><Relationship Id="rId5" Type="http://schemas.openxmlformats.org/officeDocument/2006/relationships/hyperlink" Target="https://qaoct2025bravoteam.atlassian.net/jira/software/projects/HUN/boards/2" TargetMode="External"/><Relationship Id="rId6" Type="http://schemas.openxmlformats.org/officeDocument/2006/relationships/hyperlink" Target="https://bravoteamqaaaaaa.testrail.io/index.php?/suites/view/6&amp;group_by=cases:section_id&amp;group_order=asc&amp;display=subtree&amp;display_deleted_cases=0&amp;group_id=84" TargetMode="External"/><Relationship Id="rId7" Type="http://schemas.openxmlformats.org/officeDocument/2006/relationships/hyperlink" Target="https://bravoteamqaaaaaa.testrail.io/index.php?/suites/view/6&amp;group_by=cases:section_id&amp;group_order=asc&amp;display=subtree&amp;display_deleted_cases=0&amp;group_id=1176"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1.38"/>
    <col customWidth="1" min="3" max="3" width="20.75"/>
    <col customWidth="1" min="4" max="4" width="21.88"/>
    <col customWidth="1" min="5" max="5" width="21.75"/>
  </cols>
  <sheetData>
    <row r="1">
      <c r="A1" s="1" t="s">
        <v>0</v>
      </c>
    </row>
    <row r="2">
      <c r="A2" s="2" t="s">
        <v>1</v>
      </c>
      <c r="B2" s="3" t="s">
        <v>2</v>
      </c>
      <c r="C2" s="4"/>
      <c r="D2" s="4"/>
      <c r="E2" s="5"/>
    </row>
    <row r="3">
      <c r="A3" s="6" t="s">
        <v>3</v>
      </c>
      <c r="B3" s="7" t="s">
        <v>4</v>
      </c>
      <c r="C3" s="4"/>
      <c r="D3" s="4"/>
      <c r="E3" s="5"/>
    </row>
    <row r="4">
      <c r="A4" s="8"/>
      <c r="B4" s="9" t="s">
        <v>5</v>
      </c>
      <c r="C4" s="10" t="s">
        <v>6</v>
      </c>
      <c r="D4" s="10" t="s">
        <v>7</v>
      </c>
      <c r="E4" s="10" t="s">
        <v>8</v>
      </c>
    </row>
    <row r="5">
      <c r="A5" s="11"/>
      <c r="B5" s="11"/>
      <c r="C5" s="10" t="s">
        <v>9</v>
      </c>
      <c r="D5" s="10" t="s">
        <v>10</v>
      </c>
      <c r="E5" s="10" t="s">
        <v>11</v>
      </c>
    </row>
    <row r="6" ht="54.75" customHeight="1">
      <c r="A6" s="2" t="s">
        <v>12</v>
      </c>
      <c r="B6" s="12" t="s">
        <v>13</v>
      </c>
      <c r="C6" s="4"/>
      <c r="D6" s="4"/>
      <c r="E6" s="5"/>
    </row>
    <row r="7">
      <c r="A7" s="6" t="s">
        <v>14</v>
      </c>
      <c r="B7" s="13" t="s">
        <v>15</v>
      </c>
      <c r="C7" s="14" t="s">
        <v>16</v>
      </c>
      <c r="D7" s="4"/>
      <c r="E7" s="5"/>
    </row>
    <row r="8">
      <c r="A8" s="8"/>
      <c r="B8" s="11"/>
      <c r="C8" s="15" t="s">
        <v>17</v>
      </c>
      <c r="D8" s="4"/>
      <c r="E8" s="5"/>
    </row>
    <row r="9">
      <c r="A9" s="8"/>
      <c r="B9" s="16" t="s">
        <v>18</v>
      </c>
      <c r="C9" s="7" t="s">
        <v>19</v>
      </c>
      <c r="D9" s="4"/>
      <c r="E9" s="5"/>
    </row>
    <row r="10">
      <c r="A10" s="11"/>
      <c r="B10" s="16" t="s">
        <v>20</v>
      </c>
      <c r="C10" s="7" t="s">
        <v>21</v>
      </c>
      <c r="D10" s="4"/>
      <c r="E10" s="5"/>
    </row>
    <row r="11">
      <c r="A11" s="2" t="s">
        <v>22</v>
      </c>
      <c r="B11" s="16" t="s">
        <v>23</v>
      </c>
      <c r="C11" s="17">
        <v>46010.0</v>
      </c>
      <c r="D11" s="16" t="s">
        <v>24</v>
      </c>
      <c r="E11" s="17">
        <v>46015.0</v>
      </c>
    </row>
    <row r="12">
      <c r="A12" s="6" t="s">
        <v>25</v>
      </c>
      <c r="B12" s="18" t="s">
        <v>26</v>
      </c>
      <c r="C12" s="19"/>
      <c r="D12" s="19"/>
      <c r="E12" s="20"/>
    </row>
    <row r="13">
      <c r="A13" s="8"/>
      <c r="B13" s="21" t="s">
        <v>27</v>
      </c>
      <c r="E13" s="22"/>
    </row>
    <row r="14" ht="59.25" customHeight="1">
      <c r="A14" s="11"/>
      <c r="B14" s="23" t="s">
        <v>28</v>
      </c>
      <c r="C14" s="24"/>
      <c r="D14" s="24"/>
      <c r="E14" s="25"/>
    </row>
  </sheetData>
  <mergeCells count="16">
    <mergeCell ref="B6:E6"/>
    <mergeCell ref="C7:E7"/>
    <mergeCell ref="C8:E8"/>
    <mergeCell ref="C9:E9"/>
    <mergeCell ref="A7:A10"/>
    <mergeCell ref="A12:A14"/>
    <mergeCell ref="B12:E12"/>
    <mergeCell ref="B13:E13"/>
    <mergeCell ref="B14:E14"/>
    <mergeCell ref="A1:E1"/>
    <mergeCell ref="B2:E2"/>
    <mergeCell ref="A3:A5"/>
    <mergeCell ref="B3:E3"/>
    <mergeCell ref="B4:B5"/>
    <mergeCell ref="B7:B8"/>
    <mergeCell ref="C10:E10"/>
  </mergeCells>
  <hyperlinks>
    <hyperlink r:id="rId1" ref="B2"/>
    <hyperlink r:id="rId2" ref="C4"/>
    <hyperlink r:id="rId3" ref="D4"/>
    <hyperlink r:id="rId4" ref="E4"/>
    <hyperlink r:id="rId5" ref="C5"/>
    <hyperlink r:id="rId6" ref="D5"/>
    <hyperlink r:id="rId7" ref="E5"/>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35.13"/>
    <col customWidth="1" min="3" max="3" width="7.63"/>
    <col customWidth="1" min="4" max="4" width="8.75"/>
    <col customWidth="1" min="5" max="5" width="9.38"/>
    <col customWidth="1" min="6" max="6" width="8.0"/>
    <col customWidth="1" min="7" max="7" width="7.5"/>
    <col customWidth="1" min="9" max="9" width="13.75"/>
    <col customWidth="1" min="10" max="10" width="5.0"/>
    <col customWidth="1" min="11" max="11" width="32.75"/>
    <col customWidth="1" min="12" max="12" width="7.38"/>
    <col customWidth="1" min="13" max="13" width="8.38"/>
    <col customWidth="1" min="14" max="14" width="8.13"/>
    <col customWidth="1" min="15" max="15" width="7.63"/>
    <col customWidth="1" min="16" max="16" width="8.38"/>
    <col customWidth="1" min="19" max="19" width="4.25"/>
    <col customWidth="1" min="20" max="20" width="24.13"/>
    <col customWidth="1" min="21" max="21" width="7.75"/>
    <col customWidth="1" min="22" max="22" width="10.0"/>
    <col customWidth="1" min="23" max="23" width="9.63"/>
  </cols>
  <sheetData>
    <row r="1">
      <c r="A1" s="26" t="s">
        <v>29</v>
      </c>
      <c r="B1" s="4"/>
      <c r="C1" s="4"/>
      <c r="D1" s="5"/>
      <c r="J1" s="27" t="s">
        <v>30</v>
      </c>
      <c r="K1" s="4"/>
      <c r="L1" s="4"/>
      <c r="M1" s="5"/>
    </row>
    <row r="2">
      <c r="A2" s="28" t="s">
        <v>31</v>
      </c>
      <c r="B2" s="5"/>
      <c r="C2" s="29">
        <v>115.0</v>
      </c>
      <c r="D2" s="30">
        <v>1.0</v>
      </c>
      <c r="J2" s="31" t="s">
        <v>31</v>
      </c>
      <c r="K2" s="5"/>
      <c r="L2" s="29">
        <v>80.0</v>
      </c>
      <c r="M2" s="30">
        <v>1.0</v>
      </c>
    </row>
    <row r="3">
      <c r="A3" s="32" t="s">
        <v>32</v>
      </c>
      <c r="B3" s="5"/>
      <c r="C3" s="33">
        <v>105.0</v>
      </c>
      <c r="D3" s="34">
        <f>C3/C2</f>
        <v>0.9130434783</v>
      </c>
      <c r="J3" s="35" t="s">
        <v>32</v>
      </c>
      <c r="K3" s="5"/>
      <c r="L3" s="33">
        <v>73.0</v>
      </c>
      <c r="M3" s="34">
        <f>L3/L2</f>
        <v>0.9125</v>
      </c>
    </row>
    <row r="4">
      <c r="A4" s="36" t="s">
        <v>33</v>
      </c>
      <c r="B4" s="5"/>
      <c r="C4" s="37">
        <v>10.0</v>
      </c>
      <c r="D4" s="38">
        <f>C4/C2</f>
        <v>0.08695652174</v>
      </c>
      <c r="J4" s="39" t="s">
        <v>33</v>
      </c>
      <c r="K4" s="5"/>
      <c r="L4" s="37">
        <v>6.0</v>
      </c>
      <c r="M4" s="38">
        <f t="shared" ref="M4:M5" si="1">L4/L2</f>
        <v>0.075</v>
      </c>
    </row>
    <row r="5">
      <c r="J5" s="40" t="s">
        <v>34</v>
      </c>
      <c r="K5" s="5"/>
      <c r="L5" s="41">
        <v>1.0</v>
      </c>
      <c r="M5" s="42">
        <f t="shared" si="1"/>
        <v>0.01369863014</v>
      </c>
    </row>
    <row r="6">
      <c r="J6" s="43"/>
    </row>
    <row r="7">
      <c r="J7" s="43"/>
    </row>
    <row r="8">
      <c r="J8" s="43"/>
    </row>
    <row r="9">
      <c r="J9" s="43"/>
    </row>
    <row r="10">
      <c r="J10" s="43"/>
    </row>
    <row r="11">
      <c r="J11" s="43"/>
    </row>
    <row r="12">
      <c r="A12" s="26" t="s">
        <v>35</v>
      </c>
      <c r="B12" s="4"/>
      <c r="C12" s="4"/>
      <c r="D12" s="44"/>
      <c r="J12" s="26" t="s">
        <v>36</v>
      </c>
      <c r="K12" s="4"/>
      <c r="L12" s="4"/>
      <c r="M12" s="44"/>
    </row>
    <row r="13">
      <c r="A13" s="28" t="s">
        <v>37</v>
      </c>
      <c r="B13" s="5"/>
      <c r="C13" s="29">
        <v>0.0</v>
      </c>
      <c r="D13" s="30">
        <f t="shared" ref="D13:D16" si="2">C13*100%/sum($C$13:$C$16)</f>
        <v>0</v>
      </c>
      <c r="J13" s="28" t="s">
        <v>37</v>
      </c>
      <c r="K13" s="5"/>
      <c r="L13" s="29">
        <v>0.0</v>
      </c>
      <c r="M13" s="30">
        <f t="shared" ref="M13:M16" si="3">L13*100%/sum($C$13:$C$16)</f>
        <v>0</v>
      </c>
    </row>
    <row r="14">
      <c r="A14" s="32" t="s">
        <v>38</v>
      </c>
      <c r="B14" s="5"/>
      <c r="C14" s="45">
        <v>0.0</v>
      </c>
      <c r="D14" s="30">
        <f t="shared" si="2"/>
        <v>0</v>
      </c>
      <c r="J14" s="32" t="s">
        <v>38</v>
      </c>
      <c r="K14" s="5"/>
      <c r="L14" s="45">
        <v>1.0</v>
      </c>
      <c r="M14" s="30">
        <f t="shared" si="3"/>
        <v>0.1</v>
      </c>
    </row>
    <row r="15">
      <c r="A15" s="36" t="s">
        <v>39</v>
      </c>
      <c r="B15" s="5"/>
      <c r="C15" s="45">
        <v>10.0</v>
      </c>
      <c r="D15" s="30">
        <f t="shared" si="2"/>
        <v>1</v>
      </c>
      <c r="J15" s="36" t="s">
        <v>39</v>
      </c>
      <c r="K15" s="5"/>
      <c r="L15" s="45">
        <v>5.0</v>
      </c>
      <c r="M15" s="30">
        <f t="shared" si="3"/>
        <v>0.5</v>
      </c>
    </row>
    <row r="16">
      <c r="A16" s="28" t="s">
        <v>40</v>
      </c>
      <c r="B16" s="5"/>
      <c r="C16" s="46">
        <v>0.0</v>
      </c>
      <c r="D16" s="30">
        <f t="shared" si="2"/>
        <v>0</v>
      </c>
      <c r="J16" s="28" t="s">
        <v>40</v>
      </c>
      <c r="K16" s="5"/>
      <c r="L16" s="46">
        <v>0.0</v>
      </c>
      <c r="M16" s="30">
        <f t="shared" si="3"/>
        <v>0</v>
      </c>
    </row>
    <row r="17">
      <c r="J17" s="43"/>
    </row>
    <row r="18">
      <c r="J18" s="43"/>
    </row>
    <row r="19">
      <c r="J19" s="43"/>
    </row>
    <row r="20">
      <c r="J20" s="43"/>
    </row>
    <row r="21">
      <c r="J21" s="43"/>
    </row>
    <row r="22">
      <c r="J22" s="43"/>
    </row>
    <row r="23">
      <c r="J23" s="43"/>
    </row>
    <row r="24">
      <c r="J24" s="43"/>
    </row>
    <row r="25">
      <c r="A25" s="47" t="s">
        <v>41</v>
      </c>
      <c r="J25" s="48" t="s">
        <v>42</v>
      </c>
    </row>
    <row r="26">
      <c r="A26" s="49" t="s">
        <v>43</v>
      </c>
      <c r="B26" s="50" t="s">
        <v>44</v>
      </c>
      <c r="C26" s="51" t="s">
        <v>45</v>
      </c>
      <c r="D26" s="52" t="s">
        <v>32</v>
      </c>
      <c r="E26" s="20"/>
      <c r="F26" s="52" t="s">
        <v>33</v>
      </c>
      <c r="G26" s="20"/>
      <c r="J26" s="49" t="s">
        <v>43</v>
      </c>
      <c r="K26" s="50" t="s">
        <v>44</v>
      </c>
      <c r="L26" s="51" t="s">
        <v>45</v>
      </c>
      <c r="M26" s="52" t="s">
        <v>32</v>
      </c>
      <c r="N26" s="20"/>
      <c r="O26" s="52" t="s">
        <v>33</v>
      </c>
      <c r="P26" s="20"/>
    </row>
    <row r="27">
      <c r="A27" s="31">
        <v>1.0</v>
      </c>
      <c r="B27" s="53" t="s">
        <v>46</v>
      </c>
      <c r="C27" s="54">
        <v>4.0</v>
      </c>
      <c r="D27" s="54">
        <v>4.0</v>
      </c>
      <c r="E27" s="55">
        <f t="shared" ref="E27:E44" si="4">D27*100%/C27</f>
        <v>1</v>
      </c>
      <c r="F27" s="56">
        <v>0.0</v>
      </c>
      <c r="G27" s="57">
        <f t="shared" ref="G27:G44" si="5">F27*100%/C27</f>
        <v>0</v>
      </c>
      <c r="J27" s="31">
        <v>1.0</v>
      </c>
      <c r="K27" s="53" t="s">
        <v>47</v>
      </c>
      <c r="L27" s="54">
        <v>7.0</v>
      </c>
      <c r="M27" s="58">
        <v>6.0</v>
      </c>
      <c r="N27" s="55">
        <f t="shared" ref="N27:N42" si="6">M27*100%/L27</f>
        <v>0.8571428571</v>
      </c>
      <c r="O27" s="29">
        <v>0.0</v>
      </c>
      <c r="P27" s="57">
        <f t="shared" ref="P27:P43" si="7">O27*100%/L27</f>
        <v>0</v>
      </c>
    </row>
    <row r="28">
      <c r="A28" s="31">
        <v>2.0</v>
      </c>
      <c r="B28" s="59" t="s">
        <v>48</v>
      </c>
      <c r="C28" s="60">
        <v>9.0</v>
      </c>
      <c r="D28" s="60">
        <v>9.0</v>
      </c>
      <c r="E28" s="55">
        <f t="shared" si="4"/>
        <v>1</v>
      </c>
      <c r="F28" s="56">
        <v>0.0</v>
      </c>
      <c r="G28" s="57">
        <f t="shared" si="5"/>
        <v>0</v>
      </c>
      <c r="J28" s="31">
        <v>2.0</v>
      </c>
      <c r="K28" s="59" t="s">
        <v>49</v>
      </c>
      <c r="L28" s="60">
        <v>7.0</v>
      </c>
      <c r="M28" s="60">
        <v>7.0</v>
      </c>
      <c r="N28" s="55">
        <f t="shared" si="6"/>
        <v>1</v>
      </c>
      <c r="O28" s="29">
        <v>0.0</v>
      </c>
      <c r="P28" s="57">
        <f t="shared" si="7"/>
        <v>0</v>
      </c>
    </row>
    <row r="29">
      <c r="A29" s="31">
        <v>3.0</v>
      </c>
      <c r="B29" s="59" t="s">
        <v>50</v>
      </c>
      <c r="C29" s="60">
        <v>1.0</v>
      </c>
      <c r="D29" s="60">
        <v>1.0</v>
      </c>
      <c r="E29" s="55">
        <f t="shared" si="4"/>
        <v>1</v>
      </c>
      <c r="F29" s="56">
        <v>0.0</v>
      </c>
      <c r="G29" s="57">
        <f t="shared" si="5"/>
        <v>0</v>
      </c>
      <c r="J29" s="31">
        <v>3.0</v>
      </c>
      <c r="K29" s="59" t="s">
        <v>51</v>
      </c>
      <c r="L29" s="60">
        <v>1.0</v>
      </c>
      <c r="M29" s="60">
        <v>1.0</v>
      </c>
      <c r="N29" s="55">
        <f t="shared" si="6"/>
        <v>1</v>
      </c>
      <c r="O29" s="29">
        <v>0.0</v>
      </c>
      <c r="P29" s="57">
        <f t="shared" si="7"/>
        <v>0</v>
      </c>
    </row>
    <row r="30">
      <c r="A30" s="31">
        <v>4.0</v>
      </c>
      <c r="B30" s="59" t="s">
        <v>52</v>
      </c>
      <c r="C30" s="60">
        <v>8.0</v>
      </c>
      <c r="D30" s="60">
        <v>8.0</v>
      </c>
      <c r="E30" s="55">
        <f t="shared" si="4"/>
        <v>1</v>
      </c>
      <c r="F30" s="56">
        <v>0.0</v>
      </c>
      <c r="G30" s="57">
        <f t="shared" si="5"/>
        <v>0</v>
      </c>
      <c r="J30" s="31">
        <v>4.0</v>
      </c>
      <c r="K30" s="59" t="s">
        <v>53</v>
      </c>
      <c r="L30" s="60">
        <v>2.0</v>
      </c>
      <c r="M30" s="60">
        <v>2.0</v>
      </c>
      <c r="N30" s="55">
        <f t="shared" si="6"/>
        <v>1</v>
      </c>
      <c r="O30" s="29">
        <v>0.0</v>
      </c>
      <c r="P30" s="57">
        <f t="shared" si="7"/>
        <v>0</v>
      </c>
    </row>
    <row r="31">
      <c r="A31" s="31">
        <v>5.0</v>
      </c>
      <c r="B31" s="59" t="s">
        <v>54</v>
      </c>
      <c r="C31" s="60">
        <v>3.0</v>
      </c>
      <c r="D31" s="60">
        <v>3.0</v>
      </c>
      <c r="E31" s="55">
        <f t="shared" si="4"/>
        <v>1</v>
      </c>
      <c r="F31" s="56">
        <v>0.0</v>
      </c>
      <c r="G31" s="57">
        <f t="shared" si="5"/>
        <v>0</v>
      </c>
      <c r="J31" s="31">
        <v>5.0</v>
      </c>
      <c r="K31" s="59" t="s">
        <v>55</v>
      </c>
      <c r="L31" s="60">
        <v>5.0</v>
      </c>
      <c r="M31" s="60">
        <v>5.0</v>
      </c>
      <c r="N31" s="55">
        <f t="shared" si="6"/>
        <v>1</v>
      </c>
      <c r="O31" s="29">
        <v>0.0</v>
      </c>
      <c r="P31" s="57">
        <f t="shared" si="7"/>
        <v>0</v>
      </c>
    </row>
    <row r="32">
      <c r="A32" s="31">
        <v>6.0</v>
      </c>
      <c r="B32" s="59" t="s">
        <v>56</v>
      </c>
      <c r="C32" s="60">
        <v>2.0</v>
      </c>
      <c r="D32" s="61">
        <v>1.0</v>
      </c>
      <c r="E32" s="55">
        <f t="shared" si="4"/>
        <v>0.5</v>
      </c>
      <c r="F32" s="56">
        <v>1.0</v>
      </c>
      <c r="G32" s="57">
        <f t="shared" si="5"/>
        <v>0.5</v>
      </c>
      <c r="J32" s="31">
        <v>6.0</v>
      </c>
      <c r="K32" s="59" t="s">
        <v>57</v>
      </c>
      <c r="L32" s="60">
        <v>4.0</v>
      </c>
      <c r="M32" s="60">
        <v>4.0</v>
      </c>
      <c r="N32" s="55">
        <f t="shared" si="6"/>
        <v>1</v>
      </c>
      <c r="O32" s="29">
        <v>0.0</v>
      </c>
      <c r="P32" s="57">
        <f t="shared" si="7"/>
        <v>0</v>
      </c>
    </row>
    <row r="33">
      <c r="A33" s="31">
        <v>7.0</v>
      </c>
      <c r="B33" s="59" t="s">
        <v>58</v>
      </c>
      <c r="C33" s="60">
        <v>6.0</v>
      </c>
      <c r="D33" s="61">
        <v>6.0</v>
      </c>
      <c r="E33" s="55">
        <f t="shared" si="4"/>
        <v>1</v>
      </c>
      <c r="F33" s="56">
        <v>0.0</v>
      </c>
      <c r="G33" s="57">
        <f t="shared" si="5"/>
        <v>0</v>
      </c>
      <c r="J33" s="31">
        <v>7.0</v>
      </c>
      <c r="K33" s="59" t="s">
        <v>59</v>
      </c>
      <c r="L33" s="60">
        <v>11.0</v>
      </c>
      <c r="M33" s="60">
        <v>9.0</v>
      </c>
      <c r="N33" s="55">
        <f t="shared" si="6"/>
        <v>0.8181818182</v>
      </c>
      <c r="O33" s="56">
        <v>2.0</v>
      </c>
      <c r="P33" s="57">
        <f t="shared" si="7"/>
        <v>0.1818181818</v>
      </c>
    </row>
    <row r="34">
      <c r="A34" s="31">
        <v>8.0</v>
      </c>
      <c r="B34" s="62" t="s">
        <v>60</v>
      </c>
      <c r="C34" s="60">
        <v>12.0</v>
      </c>
      <c r="D34" s="60">
        <v>12.0</v>
      </c>
      <c r="E34" s="55">
        <f t="shared" si="4"/>
        <v>1</v>
      </c>
      <c r="F34" s="56">
        <v>0.0</v>
      </c>
      <c r="G34" s="57">
        <f t="shared" si="5"/>
        <v>0</v>
      </c>
      <c r="J34" s="31">
        <v>8.0</v>
      </c>
      <c r="K34" s="59" t="s">
        <v>61</v>
      </c>
      <c r="L34" s="60">
        <v>12.0</v>
      </c>
      <c r="M34" s="61">
        <v>8.0</v>
      </c>
      <c r="N34" s="55">
        <f t="shared" si="6"/>
        <v>0.6666666667</v>
      </c>
      <c r="O34" s="56">
        <v>4.0</v>
      </c>
      <c r="P34" s="57">
        <f t="shared" si="7"/>
        <v>0.3333333333</v>
      </c>
    </row>
    <row r="35">
      <c r="A35" s="31">
        <v>9.0</v>
      </c>
      <c r="B35" s="63" t="s">
        <v>62</v>
      </c>
      <c r="C35" s="60">
        <v>2.0</v>
      </c>
      <c r="D35" s="60">
        <v>2.0</v>
      </c>
      <c r="E35" s="55">
        <f t="shared" si="4"/>
        <v>1</v>
      </c>
      <c r="F35" s="56">
        <v>0.0</v>
      </c>
      <c r="G35" s="57">
        <f t="shared" si="5"/>
        <v>0</v>
      </c>
      <c r="J35" s="31">
        <v>9.0</v>
      </c>
      <c r="K35" s="59" t="s">
        <v>56</v>
      </c>
      <c r="L35" s="60">
        <v>5.0</v>
      </c>
      <c r="M35" s="60">
        <v>5.0</v>
      </c>
      <c r="N35" s="55">
        <f t="shared" si="6"/>
        <v>1</v>
      </c>
      <c r="O35" s="29">
        <v>0.0</v>
      </c>
      <c r="P35" s="57">
        <f t="shared" si="7"/>
        <v>0</v>
      </c>
    </row>
    <row r="36">
      <c r="A36" s="31">
        <v>10.0</v>
      </c>
      <c r="B36" s="63" t="s">
        <v>63</v>
      </c>
      <c r="C36" s="60">
        <v>7.0</v>
      </c>
      <c r="D36" s="61">
        <v>6.0</v>
      </c>
      <c r="E36" s="55">
        <f t="shared" si="4"/>
        <v>0.8571428571</v>
      </c>
      <c r="F36" s="56">
        <v>1.0</v>
      </c>
      <c r="G36" s="57">
        <f t="shared" si="5"/>
        <v>0.1428571429</v>
      </c>
      <c r="J36" s="31">
        <v>10.0</v>
      </c>
      <c r="K36" s="59" t="s">
        <v>64</v>
      </c>
      <c r="L36" s="60">
        <v>4.0</v>
      </c>
      <c r="M36" s="60">
        <v>4.0</v>
      </c>
      <c r="N36" s="55">
        <f t="shared" si="6"/>
        <v>1</v>
      </c>
      <c r="O36" s="29">
        <v>0.0</v>
      </c>
      <c r="P36" s="57">
        <f t="shared" si="7"/>
        <v>0</v>
      </c>
    </row>
    <row r="37">
      <c r="A37" s="31">
        <v>11.0</v>
      </c>
      <c r="B37" s="63" t="s">
        <v>65</v>
      </c>
      <c r="C37" s="60">
        <v>2.0</v>
      </c>
      <c r="D37" s="60">
        <v>2.0</v>
      </c>
      <c r="E37" s="55">
        <f t="shared" si="4"/>
        <v>1</v>
      </c>
      <c r="F37" s="56">
        <v>0.0</v>
      </c>
      <c r="G37" s="57">
        <f t="shared" si="5"/>
        <v>0</v>
      </c>
      <c r="J37" s="31">
        <v>11.0</v>
      </c>
      <c r="K37" s="59" t="s">
        <v>66</v>
      </c>
      <c r="L37" s="60">
        <v>4.0</v>
      </c>
      <c r="M37" s="60">
        <v>4.0</v>
      </c>
      <c r="N37" s="55">
        <f t="shared" si="6"/>
        <v>1</v>
      </c>
      <c r="O37" s="29">
        <v>0.0</v>
      </c>
      <c r="P37" s="57">
        <f t="shared" si="7"/>
        <v>0</v>
      </c>
    </row>
    <row r="38">
      <c r="A38" s="31">
        <v>12.0</v>
      </c>
      <c r="B38" s="64" t="s">
        <v>67</v>
      </c>
      <c r="C38" s="60">
        <v>2.0</v>
      </c>
      <c r="D38" s="60">
        <v>2.0</v>
      </c>
      <c r="E38" s="55">
        <f t="shared" si="4"/>
        <v>1</v>
      </c>
      <c r="F38" s="56">
        <v>0.0</v>
      </c>
      <c r="G38" s="57">
        <f t="shared" si="5"/>
        <v>0</v>
      </c>
      <c r="J38" s="31">
        <v>12.0</v>
      </c>
      <c r="K38" s="59" t="s">
        <v>68</v>
      </c>
      <c r="L38" s="60">
        <v>2.0</v>
      </c>
      <c r="M38" s="60">
        <v>2.0</v>
      </c>
      <c r="N38" s="55">
        <f t="shared" si="6"/>
        <v>1</v>
      </c>
      <c r="O38" s="29">
        <v>0.0</v>
      </c>
      <c r="P38" s="57">
        <f t="shared" si="7"/>
        <v>0</v>
      </c>
    </row>
    <row r="39">
      <c r="A39" s="31">
        <v>13.0</v>
      </c>
      <c r="B39" s="62" t="s">
        <v>69</v>
      </c>
      <c r="C39" s="60">
        <v>4.0</v>
      </c>
      <c r="D39" s="60">
        <v>4.0</v>
      </c>
      <c r="E39" s="55">
        <f t="shared" si="4"/>
        <v>1</v>
      </c>
      <c r="F39" s="56">
        <v>0.0</v>
      </c>
      <c r="G39" s="57">
        <f t="shared" si="5"/>
        <v>0</v>
      </c>
      <c r="J39" s="31">
        <v>13.0</v>
      </c>
      <c r="K39" s="59" t="s">
        <v>70</v>
      </c>
      <c r="L39" s="60">
        <v>5.0</v>
      </c>
      <c r="M39" s="60">
        <v>5.0</v>
      </c>
      <c r="N39" s="55">
        <f t="shared" si="6"/>
        <v>1</v>
      </c>
      <c r="O39" s="29">
        <v>0.0</v>
      </c>
      <c r="P39" s="57">
        <f t="shared" si="7"/>
        <v>0</v>
      </c>
    </row>
    <row r="40">
      <c r="A40" s="31">
        <v>14.0</v>
      </c>
      <c r="B40" s="63" t="s">
        <v>71</v>
      </c>
      <c r="C40" s="60">
        <v>2.0</v>
      </c>
      <c r="D40" s="60">
        <v>2.0</v>
      </c>
      <c r="E40" s="55">
        <f t="shared" si="4"/>
        <v>1</v>
      </c>
      <c r="F40" s="56">
        <v>0.0</v>
      </c>
      <c r="G40" s="57">
        <f t="shared" si="5"/>
        <v>0</v>
      </c>
      <c r="J40" s="31">
        <v>14.0</v>
      </c>
      <c r="K40" s="59" t="s">
        <v>72</v>
      </c>
      <c r="L40" s="60">
        <v>3.0</v>
      </c>
      <c r="M40" s="60">
        <v>3.0</v>
      </c>
      <c r="N40" s="55">
        <f t="shared" si="6"/>
        <v>1</v>
      </c>
      <c r="O40" s="29">
        <v>0.0</v>
      </c>
      <c r="P40" s="57">
        <f t="shared" si="7"/>
        <v>0</v>
      </c>
    </row>
    <row r="41">
      <c r="A41" s="31">
        <v>15.0</v>
      </c>
      <c r="B41" s="63" t="s">
        <v>55</v>
      </c>
      <c r="C41" s="60">
        <v>12.0</v>
      </c>
      <c r="D41" s="61">
        <v>9.0</v>
      </c>
      <c r="E41" s="55">
        <f t="shared" si="4"/>
        <v>0.75</v>
      </c>
      <c r="F41" s="56">
        <v>3.0</v>
      </c>
      <c r="G41" s="57">
        <f t="shared" si="5"/>
        <v>0.25</v>
      </c>
      <c r="J41" s="31">
        <v>15.0</v>
      </c>
      <c r="K41" s="59" t="s">
        <v>73</v>
      </c>
      <c r="L41" s="60">
        <v>4.0</v>
      </c>
      <c r="M41" s="60">
        <v>4.0</v>
      </c>
      <c r="N41" s="55">
        <f t="shared" si="6"/>
        <v>1</v>
      </c>
      <c r="O41" s="29">
        <v>0.0</v>
      </c>
      <c r="P41" s="57">
        <f t="shared" si="7"/>
        <v>0</v>
      </c>
    </row>
    <row r="42">
      <c r="A42" s="31">
        <v>16.0</v>
      </c>
      <c r="B42" s="64" t="s">
        <v>57</v>
      </c>
      <c r="C42" s="60">
        <v>12.0</v>
      </c>
      <c r="D42" s="61">
        <v>11.0</v>
      </c>
      <c r="E42" s="55">
        <f t="shared" si="4"/>
        <v>0.9166666667</v>
      </c>
      <c r="F42" s="56">
        <v>1.0</v>
      </c>
      <c r="G42" s="57">
        <f t="shared" si="5"/>
        <v>0.08333333333</v>
      </c>
      <c r="J42" s="31">
        <v>16.0</v>
      </c>
      <c r="K42" s="59" t="s">
        <v>74</v>
      </c>
      <c r="L42" s="60">
        <v>3.0</v>
      </c>
      <c r="M42" s="60">
        <v>3.0</v>
      </c>
      <c r="N42" s="55">
        <f t="shared" si="6"/>
        <v>1</v>
      </c>
      <c r="O42" s="29">
        <v>0.0</v>
      </c>
      <c r="P42" s="57">
        <f t="shared" si="7"/>
        <v>0</v>
      </c>
    </row>
    <row r="43">
      <c r="A43" s="31">
        <v>17.0</v>
      </c>
      <c r="B43" s="62" t="s">
        <v>75</v>
      </c>
      <c r="C43" s="60">
        <v>15.0</v>
      </c>
      <c r="D43" s="61">
        <v>12.0</v>
      </c>
      <c r="E43" s="55">
        <f t="shared" si="4"/>
        <v>0.8</v>
      </c>
      <c r="F43" s="56">
        <v>3.0</v>
      </c>
      <c r="G43" s="57">
        <f t="shared" si="5"/>
        <v>0.2</v>
      </c>
      <c r="J43" s="65"/>
      <c r="K43" s="66" t="s">
        <v>76</v>
      </c>
      <c r="L43" s="67">
        <f t="shared" ref="L43:M43" si="8">sum(L27:L42)</f>
        <v>79</v>
      </c>
      <c r="M43" s="67">
        <f t="shared" si="8"/>
        <v>72</v>
      </c>
      <c r="N43" s="68">
        <f>M43/L43</f>
        <v>0.9113924051</v>
      </c>
      <c r="O43" s="69">
        <f>sum(O27:O42)</f>
        <v>6</v>
      </c>
      <c r="P43" s="70">
        <f t="shared" si="7"/>
        <v>0.07594936709</v>
      </c>
    </row>
    <row r="44">
      <c r="A44" s="31">
        <v>18.0</v>
      </c>
      <c r="B44" s="62" t="s">
        <v>77</v>
      </c>
      <c r="C44" s="60">
        <v>12.0</v>
      </c>
      <c r="D44" s="61">
        <v>11.0</v>
      </c>
      <c r="E44" s="55">
        <f t="shared" si="4"/>
        <v>0.9166666667</v>
      </c>
      <c r="F44" s="56">
        <v>1.0</v>
      </c>
      <c r="G44" s="57">
        <f t="shared" si="5"/>
        <v>0.08333333333</v>
      </c>
    </row>
    <row r="45">
      <c r="A45" s="65"/>
      <c r="B45" s="67" t="s">
        <v>76</v>
      </c>
      <c r="C45" s="67">
        <f t="shared" ref="C45:D45" si="9">sum(C27:C44)</f>
        <v>115</v>
      </c>
      <c r="D45" s="67">
        <f t="shared" si="9"/>
        <v>105</v>
      </c>
      <c r="E45" s="68">
        <f>D45/C45</f>
        <v>0.9130434783</v>
      </c>
      <c r="F45" s="69">
        <f>sum(F27:F44)</f>
        <v>10</v>
      </c>
      <c r="G45" s="70">
        <f>F45/C45</f>
        <v>0.08695652174</v>
      </c>
    </row>
  </sheetData>
  <mergeCells count="25">
    <mergeCell ref="A1:D1"/>
    <mergeCell ref="J1:M1"/>
    <mergeCell ref="A2:B2"/>
    <mergeCell ref="J2:K2"/>
    <mergeCell ref="A3:B3"/>
    <mergeCell ref="J3:K3"/>
    <mergeCell ref="A4:B4"/>
    <mergeCell ref="A14:B14"/>
    <mergeCell ref="A15:B15"/>
    <mergeCell ref="A16:B16"/>
    <mergeCell ref="A25:G25"/>
    <mergeCell ref="D26:E26"/>
    <mergeCell ref="F26:G26"/>
    <mergeCell ref="J15:K15"/>
    <mergeCell ref="J16:K16"/>
    <mergeCell ref="J25:P25"/>
    <mergeCell ref="M26:N26"/>
    <mergeCell ref="O26:P26"/>
    <mergeCell ref="J4:K4"/>
    <mergeCell ref="J5:K5"/>
    <mergeCell ref="A12:C12"/>
    <mergeCell ref="J12:L12"/>
    <mergeCell ref="A13:B13"/>
    <mergeCell ref="J13:K13"/>
    <mergeCell ref="J14:K14"/>
  </mergeCells>
  <conditionalFormatting sqref="D2 D4 E27:E62 G27:G61 N27:N45 P27:P44">
    <cfRule type="cellIs" dxfId="0" priority="1" operator="equal">
      <formula>"0%"</formula>
    </cfRule>
  </conditionalFormatting>
  <conditionalFormatting sqref="D2 D4 E27:E62 G27:G61 N27:N45 P27:P44">
    <cfRule type="cellIs" dxfId="1" priority="2" operator="greaterThan">
      <formula>"80%"</formula>
    </cfRule>
  </conditionalFormatting>
  <conditionalFormatting sqref="D2 D4 E27:E62 G27:G61 N27:N45 P27:P44">
    <cfRule type="cellIs" dxfId="2" priority="3" operator="greaterThan">
      <formula>"70%"</formula>
    </cfRule>
  </conditionalFormatting>
  <conditionalFormatting sqref="D2 D4 G27:G62 P27:P45">
    <cfRule type="cellIs" dxfId="3" priority="4" operator="equal">
      <formula>"0%"</formula>
    </cfRule>
  </conditionalFormatting>
  <conditionalFormatting sqref="D2 D4 G27:G62 P27:P45">
    <cfRule type="cellIs" dxfId="4" priority="5" operator="between">
      <formula>"1%"</formula>
      <formula>"10%"</formula>
    </cfRule>
  </conditionalFormatting>
  <conditionalFormatting sqref="D2 D4 G27:G62 P27:P45">
    <cfRule type="cellIs" dxfId="5" priority="6" operator="between">
      <formula>"11%"</formula>
      <formula>"25%"</formula>
    </cfRule>
  </conditionalFormatting>
  <conditionalFormatting sqref="D2 D4 G27:G62 P27:P45">
    <cfRule type="cellIs" dxfId="6" priority="7" operator="greaterThanOrEqual">
      <formula>"25%"</formula>
    </cfRule>
  </conditionalFormatting>
  <conditionalFormatting sqref="A13:B13 J13:K13">
    <cfRule type="notContainsBlanks" dxfId="4" priority="8">
      <formula>LEN(TRIM(A13))&gt;0</formula>
    </cfRule>
  </conditionalFormatting>
  <conditionalFormatting sqref="A14:B14 J14:K14">
    <cfRule type="notContainsBlanks" dxfId="7" priority="9">
      <formula>LEN(TRIM(A14))&gt;0</formula>
    </cfRule>
  </conditionalFormatting>
  <conditionalFormatting sqref="A15:B15 J15:K15">
    <cfRule type="notContainsBlanks" dxfId="8" priority="10">
      <formula>LEN(TRIM(A15))&gt;0</formula>
    </cfRule>
  </conditionalFormatting>
  <conditionalFormatting sqref="A16:B16 J16:K16">
    <cfRule type="notContainsBlanks" dxfId="9" priority="11">
      <formula>LEN(TRIM(A16))&gt;0</formula>
    </cfRule>
  </conditionalFormatting>
  <drawing r:id="rId1"/>
</worksheet>
</file>